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ashle\OneDrive - Microsoft\Reference\ExpressRoute\"/>
    </mc:Choice>
  </mc:AlternateContent>
  <xr:revisionPtr revIDLastSave="376" documentId="8_{29A3F73B-DB5F-4A0F-85A8-C8112EF62F01}" xr6:coauthVersionLast="40" xr6:coauthVersionMax="42" xr10:uidLastSave="{A4D79BDB-B0EA-4029-880A-EA973F9C1925}"/>
  <bookViews>
    <workbookView xWindow="28680" yWindow="-120" windowWidth="29040" windowHeight="15840" tabRatio="832" xr2:uid="{159DF876-BA11-41AD-BDA4-9E95E3F271E7}"/>
  </bookViews>
  <sheets>
    <sheet name="Calculator" sheetId="1" r:id="rId1"/>
    <sheet name="Regions" sheetId="15" r:id="rId2"/>
    <sheet name="Central US" sheetId="2" r:id="rId3"/>
    <sheet name="East US" sheetId="3" r:id="rId4"/>
    <sheet name="East US2" sheetId="4" r:id="rId5"/>
    <sheet name="North Central US" sheetId="5" r:id="rId6"/>
    <sheet name="South Central US" sheetId="6" r:id="rId7"/>
    <sheet name="West Central US" sheetId="7" r:id="rId8"/>
    <sheet name="West US" sheetId="8" r:id="rId9"/>
    <sheet name="West US 2" sheetId="9" r:id="rId10"/>
    <sheet name="North Europe" sheetId="10" r:id="rId11"/>
    <sheet name="West Europe" sheetId="11" r:id="rId12"/>
    <sheet name="East Asia" sheetId="12" r:id="rId13"/>
    <sheet name="Southeast Asia" sheetId="13" r:id="rId14"/>
    <sheet name="Japan East" sheetId="14" r:id="rId15"/>
    <sheet name="Japan West" sheetId="16" r:id="rId16"/>
    <sheet name="Brazil South" sheetId="17" r:id="rId17"/>
    <sheet name="Australia Central" sheetId="18" r:id="rId18"/>
    <sheet name="Australia Central 2" sheetId="19" r:id="rId19"/>
    <sheet name="Australia East" sheetId="20" r:id="rId20"/>
    <sheet name="Australia Southeast" sheetId="21" r:id="rId21"/>
    <sheet name="Central India" sheetId="22" r:id="rId22"/>
    <sheet name="South India" sheetId="23" r:id="rId23"/>
    <sheet name="West India" sheetId="24" r:id="rId24"/>
    <sheet name="Canada Central" sheetId="25" r:id="rId25"/>
    <sheet name="Canada East" sheetId="26" r:id="rId26"/>
    <sheet name="Germany Central" sheetId="27" r:id="rId27"/>
    <sheet name="Germany Northeast" sheetId="28" r:id="rId28"/>
    <sheet name="UK South" sheetId="29" r:id="rId29"/>
    <sheet name="UK West" sheetId="30" r:id="rId30"/>
    <sheet name="France Central" sheetId="31" r:id="rId31"/>
    <sheet name="France South" sheetId="32" r:id="rId32"/>
    <sheet name="Korea Central" sheetId="33" r:id="rId33"/>
    <sheet name="Korea South" sheetId="34" r:id="rId34"/>
  </sheets>
  <definedNames>
    <definedName name="Sheets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1" l="1"/>
  <c r="A5" i="15"/>
  <c r="A13" i="15"/>
  <c r="A21" i="15"/>
  <c r="A29" i="15"/>
  <c r="A24" i="15"/>
  <c r="A3" i="15"/>
  <c r="A27" i="15"/>
  <c r="A28" i="15"/>
  <c r="A6" i="15"/>
  <c r="A14" i="15"/>
  <c r="A22" i="15"/>
  <c r="A30" i="15"/>
  <c r="A8" i="15"/>
  <c r="A32" i="15"/>
  <c r="A19" i="15"/>
  <c r="A7" i="15"/>
  <c r="A15" i="15"/>
  <c r="A23" i="15"/>
  <c r="A31" i="15"/>
  <c r="A16" i="15"/>
  <c r="A11" i="15"/>
  <c r="A12" i="15"/>
  <c r="A9" i="15"/>
  <c r="A17" i="15"/>
  <c r="A25" i="15"/>
  <c r="A33" i="15"/>
  <c r="A10" i="15"/>
  <c r="A18" i="15"/>
  <c r="A26" i="15"/>
  <c r="A4" i="15"/>
  <c r="A20" i="15"/>
  <c r="A2" i="15"/>
  <c r="D27" i="1"/>
  <c r="C27" i="1"/>
  <c r="C22" i="1"/>
  <c r="C21" i="1"/>
  <c r="C17" i="1" l="1"/>
  <c r="C18" i="1" s="1"/>
  <c r="C19" i="1" s="1"/>
  <c r="C20" i="1"/>
  <c r="C26" i="1"/>
  <c r="D26" i="1"/>
</calcChain>
</file>

<file path=xl/sharedStrings.xml><?xml version="1.0" encoding="utf-8"?>
<sst xmlns="http://schemas.openxmlformats.org/spreadsheetml/2006/main" count="1305" uniqueCount="30">
  <si>
    <t>Region</t>
  </si>
  <si>
    <t>Metered</t>
  </si>
  <si>
    <t>Unlimited</t>
  </si>
  <si>
    <t>Bandwidth</t>
  </si>
  <si>
    <t>Standard</t>
  </si>
  <si>
    <t>Premium</t>
  </si>
  <si>
    <t>Metered Outbound Zone</t>
  </si>
  <si>
    <t>GB Charge</t>
  </si>
  <si>
    <t>Central US</t>
  </si>
  <si>
    <t>yes</t>
  </si>
  <si>
    <t>Circuit Size (Mbps)</t>
  </si>
  <si>
    <t>Sustained Average Bandwidth/month(Mbps)</t>
  </si>
  <si>
    <t>Seconds in a month</t>
  </si>
  <si>
    <t>Total Monthly Mbps</t>
  </si>
  <si>
    <t>Converting to MBps</t>
  </si>
  <si>
    <t>Converting to GBps</t>
  </si>
  <si>
    <t>Monthly Metered Amount</t>
  </si>
  <si>
    <t>Standard Metered Circuit Cost</t>
  </si>
  <si>
    <t>Premium Metered Circuit Cost</t>
  </si>
  <si>
    <t>Monthly Metered Cost</t>
  </si>
  <si>
    <t>Monthly Unlimited Cost</t>
  </si>
  <si>
    <t>Instructions:</t>
  </si>
  <si>
    <t>ExpressRoute Calculator: Unlimited vs Metered</t>
  </si>
  <si>
    <t>Regions:</t>
  </si>
  <si>
    <t>4. Pricing will update automatically for Metered vs Unlimited based on usage</t>
  </si>
  <si>
    <t>*Prices Subject to Change</t>
  </si>
  <si>
    <t>Zone</t>
  </si>
  <si>
    <t>1. Select your Region from the drop down in cell C12</t>
  </si>
  <si>
    <t>2. Select Circuit Size from drop down in cell C13</t>
  </si>
  <si>
    <t>3. Modify sustained average BW in cell C14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</si>
</sst>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.000"/>
    <numFmt numFmtId="166" formatCode="&quot;$&quot;#,##0.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A0101"/>
      <name val="&amp;quot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165" fontId="0" fillId="0" borderId="0" xfId="0" applyNumberFormat="1"/>
    <xf numFmtId="166" fontId="0" fillId="0" borderId="0" xfId="0" applyNumberFormat="1"/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0" fillId="2" borderId="1" xfId="0" applyFill="1" applyBorder="1"/>
    <xf numFmtId="0" fontId="0" fillId="0" borderId="3" xfId="0" applyBorder="1"/>
    <xf numFmtId="0" fontId="0" fillId="2" borderId="4" xfId="0" applyFill="1" applyBorder="1"/>
    <xf numFmtId="0" fontId="0" fillId="0" borderId="0" xfId="0" applyBorder="1" applyProtection="1">
      <protection locked="0"/>
    </xf>
    <xf numFmtId="0" fontId="0" fillId="0" borderId="5" xfId="0" applyBorder="1"/>
    <xf numFmtId="0" fontId="0" fillId="0" borderId="4" xfId="0" applyBorder="1"/>
    <xf numFmtId="0" fontId="0" fillId="0" borderId="0" xfId="0" applyBorder="1"/>
    <xf numFmtId="166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3" borderId="4" xfId="0" applyFont="1" applyFill="1" applyBorder="1"/>
    <xf numFmtId="164" fontId="0" fillId="0" borderId="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1" fillId="3" borderId="6" xfId="0" applyFont="1" applyFill="1" applyBorder="1"/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2" xfId="0" applyBorder="1" applyAlignment="1">
      <alignment horizontal="right"/>
    </xf>
    <xf numFmtId="166" fontId="0" fillId="0" borderId="0" xfId="0" applyNumberFormat="1" applyProtection="1">
      <protection locked="0"/>
    </xf>
    <xf numFmtId="0" fontId="0" fillId="0" borderId="0" xfId="0" applyBorder="1" applyProtection="1"/>
  </cellXfs>
  <cellStyles count="1">
    <cellStyle name="Normal" xfId="0" builtinId="0"/>
  </cellStyles>
  <dxfs count="128"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6" formatCode="&quot;$&quot;#,##0.00"/>
      <protection locked="0" hidden="0"/>
    </dxf>
    <dxf>
      <numFmt numFmtId="166" formatCode="&quot;$&quot;#,##0.0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6" formatCode="&quot;$&quot;#,##0.00"/>
      <protection locked="0" hidden="0"/>
    </dxf>
    <dxf>
      <numFmt numFmtId="166" formatCode="&quot;$&quot;#,##0.0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4220A9-9574-44F8-8ED7-4E3956CFCC93}" name="Table2" displayName="Table2" ref="D1:F17" totalsRowShown="0">
  <autoFilter ref="D1:F17" xr:uid="{CCECAA20-7D6B-4D05-87FC-19A5739DC71F}"/>
  <tableColumns count="3">
    <tableColumn id="1" xr3:uid="{027A182A-E5EA-4E32-898F-1257DAA01D5A}" name="Bandwidth"/>
    <tableColumn id="2" xr3:uid="{C8941659-0929-4D0A-9328-6E7BEAF360EE}" name="Standard" dataDxfId="127"/>
    <tableColumn id="3" xr3:uid="{B440A709-4911-4841-863C-63D81631A9B2}" name="Premium" dataDxfId="1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A345DD-E6BE-4EDF-9285-4A44011BD33B}" name="Table35" displayName="Table35" ref="H1:I4" totalsRowShown="0">
  <autoFilter ref="H1:I4" xr:uid="{3361259D-B3C5-4A31-8FE7-1A30421768AE}"/>
  <tableColumns count="2">
    <tableColumn id="1" xr3:uid="{6F673B3E-A2CB-42D4-BF0C-7E47E1D18836}" name="Metered Outbound Zone" dataDxfId="125"/>
    <tableColumn id="2" xr3:uid="{8378F4C5-4806-4607-9863-881335752801}" name="GB Charge" dataDxfId="12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0E699C-00C4-4DAE-9A64-F3B77C05386E}" name="Table22" displayName="Table22" ref="D1:F17" totalsRowShown="0">
  <autoFilter ref="D1:F17" xr:uid="{A4449FDE-AE44-4DF3-BD0B-91DDA20E07F3}"/>
  <tableColumns count="3">
    <tableColumn id="1" xr3:uid="{8BE7C0BD-C4BA-4B3F-BDD5-E7E77665CA9C}" name="Bandwidth"/>
    <tableColumn id="2" xr3:uid="{9EB068D1-F72C-45B4-B7A9-94D4C73C5A34}" name="Standard" dataDxfId="123"/>
    <tableColumn id="3" xr3:uid="{C71D87F6-0FD1-4EEA-B6E9-91102883F4DF}" name="Premium" dataDxfId="12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27BD6D-E40F-44E0-9DBD-CEDDC0639430}" name="Table3" displayName="Table3" ref="H1:I4" totalsRowShown="0">
  <autoFilter ref="H1:I4" xr:uid="{4472B8FF-F32E-4039-AA7C-CF462EAC4231}"/>
  <tableColumns count="2">
    <tableColumn id="1" xr3:uid="{2BA1C41A-7771-42C8-8F65-28791BF8ACC4}" name="Metered Outbound Zone" dataDxfId="121"/>
    <tableColumn id="2" xr3:uid="{5A557A55-1C95-486F-880C-EB1A9B7FEC2C}" name="GB Charge" dataDxfId="1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DB5E59-3229-4C3C-8ADD-A51208ABE074}" name="Table26" displayName="Table26" ref="D1:F17" totalsRowShown="0">
  <autoFilter ref="D1:F17" xr:uid="{30C7F168-7817-47CB-920E-AD0460EB3A61}"/>
  <tableColumns count="3">
    <tableColumn id="1" xr3:uid="{D091284D-E659-4F8F-B001-36237978986E}" name="Bandwidth"/>
    <tableColumn id="2" xr3:uid="{5DAAC02A-DDB3-414A-867F-664157D2682A}" name="Standard" dataDxfId="119"/>
    <tableColumn id="3" xr3:uid="{D5D2F956-2754-4469-A96F-8D56932EFD45}" name="Premium" dataDxfId="11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FF606E-D230-46B3-85AE-2C7CA79CB241}" name="Table357" displayName="Table357" ref="H1:I4" totalsRowShown="0">
  <autoFilter ref="H1:I4" xr:uid="{6990C351-2B7F-4167-8EFB-5683FCB27391}"/>
  <tableColumns count="2">
    <tableColumn id="1" xr3:uid="{355059A0-E3AB-42EC-BC4D-81147C2BAD9F}" name="Metered Outbound Zone" dataDxfId="117"/>
    <tableColumn id="2" xr3:uid="{C66D8908-A489-4F6A-95AE-A83179EB01B3}" name="GB Charge" dataDxfId="11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F430FE8-98BD-4ADB-8F31-DDCB0C7A1686}" name="Table28" displayName="Table28" ref="D1:F17" totalsRowShown="0">
  <autoFilter ref="D1:F17" xr:uid="{CAD6A35F-3AC7-47E4-8313-318FA1DE4431}"/>
  <tableColumns count="3">
    <tableColumn id="1" xr3:uid="{2AB887E1-5CB2-4042-AE28-DD93AE598209}" name="Bandwidth"/>
    <tableColumn id="2" xr3:uid="{4DBC5B66-33B4-454A-AAE9-833C46F7F2E7}" name="Standard" dataDxfId="115"/>
    <tableColumn id="3" xr3:uid="{023AAA6C-6E8B-438F-9B7A-24B2294832EE}" name="Premium" dataDxfId="11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66B9A7-2D00-4365-8A60-E02627BAF21E}" name="Table359" displayName="Table359" ref="H1:I4" totalsRowShown="0">
  <autoFilter ref="H1:I4" xr:uid="{6E197766-5B33-473A-A8C6-B5C2D48CF409}"/>
  <tableColumns count="2">
    <tableColumn id="1" xr3:uid="{C914FC0A-CFD9-4E70-ACF7-84C7C9F73E67}" name="Metered Outbound Zone" dataDxfId="113"/>
    <tableColumn id="2" xr3:uid="{0C76F8A7-2D05-4921-A7E8-93EC1DCB4021}" name="GB Charge" dataDxfId="11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E15416-09B8-4C90-88A9-72E75072D7BC}" name="Table210" displayName="Table210" ref="D1:F17" totalsRowShown="0">
  <autoFilter ref="D1:F17" xr:uid="{0621FE7A-C885-49E5-9356-4AEDCB4D449B}"/>
  <tableColumns count="3">
    <tableColumn id="1" xr3:uid="{2FAF58D1-FD75-416D-9D19-CC51F48AD66B}" name="Bandwidth"/>
    <tableColumn id="2" xr3:uid="{7A9F9EE2-01AA-42A0-A23E-66D04082A390}" name="Standard" dataDxfId="111"/>
    <tableColumn id="3" xr3:uid="{04B71ABF-2201-4DC3-9B84-35E2784DB048}" name="Premium" dataDxfId="11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056B1C-75D3-41AC-9BC6-1B3A8F34622B}" name="Table3511" displayName="Table3511" ref="H1:I4" totalsRowShown="0">
  <autoFilter ref="H1:I4" xr:uid="{AEB9D7E4-A8AD-48D3-83FC-6A8718D204D5}"/>
  <tableColumns count="2">
    <tableColumn id="1" xr3:uid="{1CD170FC-86E9-41D5-A732-EDB576DD8F61}" name="Metered Outbound Zone" dataDxfId="109"/>
    <tableColumn id="2" xr3:uid="{D3B37048-CD4B-4FD2-A6AA-F7ECCF624B1E}" name="GB Charge" dataDxfId="10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4CEE31F-C4A8-4EC0-9B7B-3E4728E7C9F1}" name="Table212" displayName="Table212" ref="D1:F17" totalsRowShown="0">
  <autoFilter ref="D1:F17" xr:uid="{5AF1006A-F64F-4832-9A3B-71BD62552510}"/>
  <tableColumns count="3">
    <tableColumn id="1" xr3:uid="{6C851131-0992-4F41-AA14-4947D5334DEB}" name="Bandwidth"/>
    <tableColumn id="2" xr3:uid="{FB167999-0415-41C7-B42B-15002E01E389}" name="Standard" dataDxfId="107"/>
    <tableColumn id="3" xr3:uid="{0CE72D74-FD45-4D26-8617-CE40DC6356B6}" name="Premium" dataDxfId="10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6D6AC38-7ECB-42D8-B0AB-C7DB3B7107CB}" name="Table3513" displayName="Table3513" ref="H1:I4" totalsRowShown="0">
  <autoFilter ref="H1:I4" xr:uid="{95DC4419-384B-487D-8E3A-A6317F54B01C}"/>
  <tableColumns count="2">
    <tableColumn id="1" xr3:uid="{7EEA48F1-C066-4B1D-A5F8-348A8576B932}" name="Metered Outbound Zone" dataDxfId="105"/>
    <tableColumn id="2" xr3:uid="{2A6E41C4-8B3B-4E5D-BA74-9322D63710CB}" name="GB Charge" dataDxfId="104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5D488B1-AA9C-435C-A968-D4F9FEB2B4C8}" name="Table214" displayName="Table214" ref="D1:F17" totalsRowShown="0">
  <autoFilter ref="D1:F17" xr:uid="{F18FF46A-C47C-4F84-BA3E-2905341F816D}"/>
  <tableColumns count="3">
    <tableColumn id="1" xr3:uid="{E08C0C77-2DBD-4541-95B6-AEAF8FC64F3D}" name="Bandwidth"/>
    <tableColumn id="2" xr3:uid="{81A56E5F-60DD-4110-8248-3AF4D6CF91C4}" name="Standard" dataDxfId="103"/>
    <tableColumn id="3" xr3:uid="{A6F00531-B315-403D-8FC7-24BDEAF81E73}" name="Premium" dataDxfId="102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3D8BB5-6CBB-4231-B05F-E8D422ED1DB5}" name="Table3515" displayName="Table3515" ref="H1:I4" totalsRowShown="0">
  <autoFilter ref="H1:I4" xr:uid="{462AD354-3281-4BBD-85CF-4F9744FD6B80}"/>
  <tableColumns count="2">
    <tableColumn id="1" xr3:uid="{D632E85B-4D5B-47DC-8B35-D4995AD89EA1}" name="Metered Outbound Zone" dataDxfId="101"/>
    <tableColumn id="2" xr3:uid="{A00D7694-1546-4D66-9227-FD08A367C0DE}" name="GB Charge" dataDxfId="100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D38FF71-D4B6-4C78-9373-742F66CF3417}" name="Table216" displayName="Table216" ref="D1:F17" totalsRowShown="0">
  <autoFilter ref="D1:F17" xr:uid="{9DF9C5D6-C0F4-464A-83B7-24888E3F0A2D}"/>
  <tableColumns count="3">
    <tableColumn id="1" xr3:uid="{3C83BBAD-C4C5-44E6-A412-8C6192758FBA}" name="Bandwidth"/>
    <tableColumn id="2" xr3:uid="{FB878CAC-542D-480C-A69D-79E946AF75F8}" name="Standard" dataDxfId="99"/>
    <tableColumn id="3" xr3:uid="{84E9D6F0-2619-4B95-9B0E-1BF6A1CEF7D5}" name="Premium" dataDxfId="98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9D60A-D768-433C-849E-929BF3812B46}" name="Table3517" displayName="Table3517" ref="H1:I4" totalsRowShown="0">
  <autoFilter ref="H1:I4" xr:uid="{FF78597B-9520-4F69-AB71-E4FE25EF8F74}"/>
  <tableColumns count="2">
    <tableColumn id="1" xr3:uid="{B23FBA1C-4543-4F19-86BF-B526DEAA19C2}" name="Metered Outbound Zone" dataDxfId="97"/>
    <tableColumn id="2" xr3:uid="{A9FBE877-E629-481B-84EF-EBF0342C46F7}" name="GB Charge" dataDxfId="96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0D2D450-2B58-480B-998D-E0561D9EAF0E}" name="Table218" displayName="Table218" ref="D1:F17" totalsRowShown="0">
  <autoFilter ref="D1:F17" xr:uid="{E6ACA9B5-63E3-4F44-8159-0F2ECBD9BB4F}"/>
  <tableColumns count="3">
    <tableColumn id="1" xr3:uid="{C5B32DC4-7779-43F1-AC01-531BC2437CAE}" name="Bandwidth"/>
    <tableColumn id="2" xr3:uid="{AA68E2C6-E322-4A7C-B2C8-B06312970087}" name="Standard" dataDxfId="95"/>
    <tableColumn id="3" xr3:uid="{224C8D44-B439-4986-B5E7-60BF38CAF872}" name="Premium" dataDxfId="94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8A06F1-2FED-45B3-8742-9AFB2F318E0C}" name="Table3519" displayName="Table3519" ref="H1:I4" totalsRowShown="0">
  <autoFilter ref="H1:I4" xr:uid="{04B80730-E6BD-4843-9D11-12A2A71A4BDF}"/>
  <tableColumns count="2">
    <tableColumn id="1" xr3:uid="{E3FB627E-B179-4DD6-B6ED-E1376E1DB125}" name="Metered Outbound Zone" dataDxfId="93"/>
    <tableColumn id="2" xr3:uid="{A0CE186D-4466-4CED-8DC4-6CF29337B771}" name="GB Charge" dataDxfId="9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22AE268-205B-4AE6-AD7C-7803865BC73D}" name="Table220" displayName="Table220" ref="D1:F17" totalsRowShown="0">
  <autoFilter ref="D1:F17" xr:uid="{C57D6E9F-1DF3-43D7-9D5F-878BF129FC87}"/>
  <tableColumns count="3">
    <tableColumn id="1" xr3:uid="{42D65511-2375-4343-A072-8D44ED4C97D8}" name="Bandwidth"/>
    <tableColumn id="2" xr3:uid="{CDE41D20-1573-47B2-A6CC-EE3507D103D6}" name="Standard" dataDxfId="91"/>
    <tableColumn id="3" xr3:uid="{D35978F4-C972-4247-9905-E793EE7A5311}" name="Premium" dataDxfId="90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C2092E1-BC16-4F97-A3F2-2877D46995BC}" name="Table3521" displayName="Table3521" ref="H1:I4" totalsRowShown="0">
  <autoFilter ref="H1:I4" xr:uid="{5F9AF250-2645-40A7-9300-60D17E7709AA}"/>
  <tableColumns count="2">
    <tableColumn id="1" xr3:uid="{EF750BB6-6D10-419C-BB7D-2E6021BCDDD5}" name="Metered Outbound Zone" dataDxfId="89"/>
    <tableColumn id="2" xr3:uid="{9003AFA0-135C-4CF6-A2A9-D06F357926E5}" name="GB Charge" dataDxfId="88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5E6BF23-9E26-4667-BDA5-66A0CA998ECD}" name="Table222" displayName="Table222" ref="D1:F17" totalsRowShown="0">
  <autoFilter ref="D1:F17" xr:uid="{1FDF5BB0-ABB3-4EF1-8537-7B430B05A939}"/>
  <tableColumns count="3">
    <tableColumn id="1" xr3:uid="{08C3BD6F-3286-4E79-B364-11FE026ADF10}" name="Bandwidth"/>
    <tableColumn id="2" xr3:uid="{032F4090-7196-4AA1-BED1-6B9B726768EB}" name="Standard" dataDxfId="87"/>
    <tableColumn id="3" xr3:uid="{F0938BB8-D588-410D-BDD2-C5C9E4C43B30}" name="Premium" dataDxfId="86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C819A24-3E30-4422-A0D3-1A094B8827DA}" name="Table3523" displayName="Table3523" ref="H1:I3" totalsRowShown="0">
  <autoFilter ref="H1:I3" xr:uid="{EFC4CBED-D7AF-4EAE-8890-990759986556}"/>
  <tableColumns count="2">
    <tableColumn id="1" xr3:uid="{2138CE7A-A29E-4BDA-A25F-EBEBD6D9307A}" name="Metered Outbound Zone" dataDxfId="85"/>
    <tableColumn id="2" xr3:uid="{4AD2E2DF-7D26-4E6C-A04E-E44D3499F105}" name="GB Charge" dataDxfId="84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03F508B-BF26-4EC5-9B35-2AE5799D2D44}" name="Table22224" displayName="Table22224" ref="D1:F17" totalsRowShown="0">
  <autoFilter ref="D1:F17" xr:uid="{FFBA343B-CD08-4E3D-91AD-05CBF91727B7}"/>
  <tableColumns count="3">
    <tableColumn id="1" xr3:uid="{9A0D4E4A-24E1-48A2-ACAA-C98DBFE76568}" name="Bandwidth"/>
    <tableColumn id="2" xr3:uid="{43CB984D-8CF4-4EFC-9EE0-B7D0D575A297}" name="Standard" dataDxfId="83"/>
    <tableColumn id="3" xr3:uid="{3E273008-7CBB-4261-8212-EAB8E4A6F861}" name="Premium" dataDxfId="82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9551FCE-3A98-405E-A7BA-92B8D547E18C}" name="Table352325" displayName="Table352325" ref="H1:I3" totalsRowShown="0">
  <autoFilter ref="H1:I3" xr:uid="{D8C2B365-3180-4D5D-A235-66A06907AE24}"/>
  <tableColumns count="2">
    <tableColumn id="1" xr3:uid="{2EC1BA38-A722-4A92-BAC0-11DF8932AC43}" name="Metered Outbound Zone" dataDxfId="81"/>
    <tableColumn id="2" xr3:uid="{F42895C3-CA1D-4EB4-A9DD-84EC2E9372F9}" name="GB Charge" dataDxfId="80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B2031B1-0369-4A8B-9991-E19F8447B042}" name="Table22226" displayName="Table22226" ref="D1:F17" totalsRowShown="0">
  <autoFilter ref="D1:F17" xr:uid="{EE864D20-3170-44B1-A8C5-081CD2E7CE32}"/>
  <tableColumns count="3">
    <tableColumn id="1" xr3:uid="{10B091D9-7192-4119-B115-B6ED3A6B685E}" name="Bandwidth"/>
    <tableColumn id="2" xr3:uid="{7F601FFF-CFD2-4A7E-840D-DD35770191F5}" name="Standard" dataDxfId="79"/>
    <tableColumn id="3" xr3:uid="{E8EB4304-EA1E-4EA5-9F5F-EA3C68FEC086}" name="Premium" dataDxfId="78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C38490F-6C87-4D5A-B78F-AA3B8859CC70}" name="Table352327" displayName="Table352327" ref="H1:I3" totalsRowShown="0">
  <autoFilter ref="H1:I3" xr:uid="{533270F0-DA72-45A0-A2DF-5D39C39C4EDD}"/>
  <tableColumns count="2">
    <tableColumn id="1" xr3:uid="{C88FA0D6-558F-48C6-9005-86BF975E04E1}" name="Metered Outbound Zone" dataDxfId="77"/>
    <tableColumn id="2" xr3:uid="{2F953C54-BB68-45C2-B7F5-1D6231EA09F1}" name="GB Charge" dataDxfId="76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74D9924-7FAA-4482-A558-4728FB5B86C3}" name="Table22228" displayName="Table22228" ref="D1:F17" totalsRowShown="0">
  <autoFilter ref="D1:F17" xr:uid="{1BCF5A04-3F00-4A46-A6D8-2A71A46861C6}"/>
  <tableColumns count="3">
    <tableColumn id="1" xr3:uid="{D32C0986-8AFD-47C4-9C3B-8790F00F4FA2}" name="Bandwidth"/>
    <tableColumn id="2" xr3:uid="{D630EB0D-603D-4067-91DB-3344E95202D5}" name="Standard" dataDxfId="75"/>
    <tableColumn id="3" xr3:uid="{F7857A77-1CEC-4592-99B1-5C299D94B629}" name="Premium" dataDxfId="74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DE92377-F00A-4714-8A2F-5E8F2974085A}" name="Table352329" displayName="Table352329" ref="H1:I3" totalsRowShown="0">
  <autoFilter ref="H1:I3" xr:uid="{2114B441-4FEE-410C-8201-97AD92B966C8}"/>
  <tableColumns count="2">
    <tableColumn id="1" xr3:uid="{5A591159-3576-4A14-AB86-932F9961E69C}" name="Metered Outbound Zone" dataDxfId="73"/>
    <tableColumn id="2" xr3:uid="{DA297D4F-D8C0-4FBA-8A88-4E2105607DBA}" name="GB Charge" dataDxfId="72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26132D8-658F-496A-A92B-C2E8A50014D6}" name="Table22230" displayName="Table22230" ref="D1:F17" totalsRowShown="0">
  <autoFilter ref="D1:F17" xr:uid="{28C55FAC-F7D8-4F70-B158-C8DC7DB85693}"/>
  <tableColumns count="3">
    <tableColumn id="1" xr3:uid="{B6A7FE98-C96E-4BC3-BEBD-EA8657532EBD}" name="Bandwidth"/>
    <tableColumn id="2" xr3:uid="{E279D54D-1A51-4826-9608-75EB6FA59E5E}" name="Standard" dataDxfId="71"/>
    <tableColumn id="3" xr3:uid="{2CE0B50F-92BB-4EF9-AB23-672E37AAD56E}" name="Premium" dataDxfId="70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081730D-437E-41AD-84D1-A6B37511AB5D}" name="Table352331" displayName="Table352331" ref="H1:I2" totalsRowShown="0">
  <autoFilter ref="H1:I2" xr:uid="{E2344A7A-FDC6-4F0C-A07D-A6209D8B0794}"/>
  <tableColumns count="2">
    <tableColumn id="1" xr3:uid="{0DA4959E-7E9F-4608-81E8-6FE36EBD2F93}" name="Metered Outbound Zone" dataDxfId="69"/>
    <tableColumn id="2" xr3:uid="{1F9F0FF5-1D98-427D-9026-B0CC30BF0A58}" name="GB Charge" dataDxfId="68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C3B4D4F-A838-4FBE-A738-8EC5CB072C22}" name="Table21232" displayName="Table21232" ref="D1:F17" totalsRowShown="0">
  <autoFilter ref="D1:F17" xr:uid="{679E5662-019E-42D8-AE7E-36A6A4BC5975}"/>
  <tableColumns count="3">
    <tableColumn id="1" xr3:uid="{F7CEC5E0-8047-4A73-B440-50EB97AD65AF}" name="Bandwidth"/>
    <tableColumn id="2" xr3:uid="{1B8F747A-D135-4735-9B61-93D8C14D0036}" name="Standard" dataDxfId="67"/>
    <tableColumn id="3" xr3:uid="{A4B1AAC1-3B46-4729-B66D-EB0EFA2A82F4}" name="Premium" dataDxfId="66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5F47FA-3E99-4535-98C5-572FD1CB19A4}" name="Table351333" displayName="Table351333" ref="H1:I4" totalsRowShown="0">
  <autoFilter ref="H1:I4" xr:uid="{1987447D-510A-4AD2-9C73-59EB2CB8CA98}"/>
  <tableColumns count="2">
    <tableColumn id="1" xr3:uid="{5656226E-A38D-41A6-AD9F-B914A5B5DCBF}" name="Metered Outbound Zone" dataDxfId="65"/>
    <tableColumn id="2" xr3:uid="{154B7D4E-B644-4AB2-BF99-21823108857C}" name="GB Charge" dataDxfId="6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83D7BAC-4E12-4899-94C5-E3692C41F502}" name="Table21234" displayName="Table21234" ref="D1:F17" totalsRowShown="0">
  <autoFilter ref="D1:F17" xr:uid="{9CBD1970-7CE1-4E0D-8127-5E8F147140E3}"/>
  <tableColumns count="3">
    <tableColumn id="1" xr3:uid="{296DE584-9C73-421B-8727-23B0416A786A}" name="Bandwidth"/>
    <tableColumn id="2" xr3:uid="{032B4462-BB11-41F1-9CB8-C2E9A8F9E9D0}" name="Standard" dataDxfId="63"/>
    <tableColumn id="3" xr3:uid="{8FC4FB65-FE09-4DDB-B3B6-E6660DBE8B44}" name="Premium" dataDxfId="62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73A854C-A556-4915-A14A-42AF31B04246}" name="Table351335" displayName="Table351335" ref="H1:I4" totalsRowShown="0">
  <autoFilter ref="H1:I4" xr:uid="{3A3A322E-A164-48CA-B417-5183150D761B}"/>
  <tableColumns count="2">
    <tableColumn id="1" xr3:uid="{4805BB3C-F95C-4B4D-A24C-87DA41698FEE}" name="Metered Outbound Zone" dataDxfId="61"/>
    <tableColumn id="2" xr3:uid="{78082669-7B70-4F85-8E78-3375CCE979CC}" name="GB Charge" dataDxfId="60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9A211B7-FAEE-4CA0-A119-B9EDE9AB9807}" name="Table2222836" displayName="Table2222836" ref="D1:F17" totalsRowShown="0">
  <autoFilter ref="D1:F17" xr:uid="{E1EC328B-E058-4918-A0F4-9693A509EEA9}"/>
  <tableColumns count="3">
    <tableColumn id="1" xr3:uid="{E4E09172-ABEC-4935-8A28-81916F62CD21}" name="Bandwidth"/>
    <tableColumn id="2" xr3:uid="{416C809F-E21D-42AD-90EF-29733D602C9A}" name="Standard" dataDxfId="59"/>
    <tableColumn id="3" xr3:uid="{9F410D2E-05C4-4DBD-B1AF-82440689A760}" name="Premium" dataDxfId="58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6660D48-2413-4049-84DB-227B49E36B76}" name="Table35232937" displayName="Table35232937" ref="H1:I3" totalsRowShown="0">
  <autoFilter ref="H1:I3" xr:uid="{F82621F8-6C44-4A87-942D-1704829688E5}"/>
  <tableColumns count="2">
    <tableColumn id="1" xr3:uid="{E72E5CB2-D883-4DC0-801B-DE5D6BA7BB9E}" name="Metered Outbound Zone" dataDxfId="57"/>
    <tableColumn id="2" xr3:uid="{ACDC5AED-9E0B-41F6-A4D4-B3F8A15B4C54}" name="GB Charge" dataDxfId="56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9427BB5-2A32-4688-9366-354DA6577E0D}" name="Table2222838" displayName="Table2222838" ref="D1:F17" totalsRowShown="0">
  <autoFilter ref="D1:F17" xr:uid="{515085DB-737F-49D0-AF7C-13FB799DFBD5}"/>
  <tableColumns count="3">
    <tableColumn id="1" xr3:uid="{C296ACA3-A1F3-45F7-B974-94F2DCC21F14}" name="Bandwidth"/>
    <tableColumn id="2" xr3:uid="{09FB084B-71A4-4D65-91F1-C57AB3E2A5FB}" name="Standard" dataDxfId="55"/>
    <tableColumn id="3" xr3:uid="{4D894801-BCCC-4A83-8D67-288B7FE0AC66}" name="Premium" dataDxfId="54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29DD5EA-324B-4E63-B1FC-3D7CDD025F1E}" name="Table35232939" displayName="Table35232939" ref="H1:I3" totalsRowShown="0">
  <autoFilter ref="H1:I3" xr:uid="{08BBA973-939D-4740-BDE3-3E8DDFB2A8B2}"/>
  <tableColumns count="2">
    <tableColumn id="1" xr3:uid="{07A8DB15-E27E-4593-B170-9DD69AA1B4CB}" name="Metered Outbound Zone" dataDxfId="53"/>
    <tableColumn id="2" xr3:uid="{93F0CB10-46FC-4B33-9533-48FD0F8D1EFF}" name="GB Charge" dataDxfId="52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A5BBCA21-FE04-42AA-99E9-5A992DE7691C}" name="Table2222840" displayName="Table2222840" ref="D1:F17" totalsRowShown="0">
  <autoFilter ref="D1:F17" xr:uid="{D78E33CC-9401-4851-95C4-F039FFD9347B}"/>
  <tableColumns count="3">
    <tableColumn id="1" xr3:uid="{898ADC27-4993-4E91-8881-A4FA9E0D1280}" name="Bandwidth"/>
    <tableColumn id="2" xr3:uid="{A144F55B-1F5A-46DD-871B-4A0C5733C30A}" name="Standard" dataDxfId="51"/>
    <tableColumn id="3" xr3:uid="{70F1B16F-3388-4BAD-9969-93F3AD0250C7}" name="Premium" dataDxfId="50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592F3-5F01-465A-8D43-A2FA210E5BF1}" name="Table35232941" displayName="Table35232941" ref="H1:I3" totalsRowShown="0">
  <autoFilter ref="H1:I3" xr:uid="{5CBB9DF3-731A-4B7C-A1FB-7ADCC6FD9A18}"/>
  <tableColumns count="2">
    <tableColumn id="1" xr3:uid="{CCA41723-C977-4367-AF2E-0AB255D68802}" name="Metered Outbound Zone" dataDxfId="49"/>
    <tableColumn id="2" xr3:uid="{48B3C549-C4C8-4D95-B009-4E8F79A22331}" name="GB Charge" dataDxfId="4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834C64-D3E9-4625-8B2C-ABB3A8131B91}" name="Table2222842" displayName="Table2222842" ref="D1:F17" totalsRowShown="0">
  <autoFilter ref="D1:F17" xr:uid="{1D9BC9F9-E990-4AE3-BFCE-F9C385150F1F}"/>
  <tableColumns count="3">
    <tableColumn id="1" xr3:uid="{B1776290-AC27-4D9F-81BF-798D39380C5D}" name="Bandwidth"/>
    <tableColumn id="2" xr3:uid="{4BB1516E-24FB-47C0-B5D0-A0C31628B17B}" name="Standard" dataDxfId="47"/>
    <tableColumn id="3" xr3:uid="{AC0C38A0-D1A4-4FE6-8F47-7F10F3C15389}" name="Premium" dataDxfId="46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528DB6C-B6B9-4C7E-A905-D8E13D73223E}" name="Table35232943" displayName="Table35232943" ref="H1:I3" totalsRowShown="0">
  <autoFilter ref="H1:I3" xr:uid="{75A3526C-70F9-41C9-BE8E-E48B521BC896}"/>
  <tableColumns count="2">
    <tableColumn id="1" xr3:uid="{91A68003-546C-4FCD-A482-4BE5D6BF3F11}" name="Metered Outbound Zone" dataDxfId="45"/>
    <tableColumn id="2" xr3:uid="{32744455-216D-43E6-BAB0-6D483DA169AF}" name="GB Charge" dataDxfId="44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34C13C83-1BF0-440E-B2AE-462252FDC8A0}" name="Table2222844" displayName="Table2222844" ref="D1:F17" totalsRowShown="0">
  <autoFilter ref="D1:F17" xr:uid="{95B42942-F3FB-484F-B241-332FD64D96DE}"/>
  <tableColumns count="3">
    <tableColumn id="1" xr3:uid="{69A27AAD-F8FD-4CEB-983D-49151E2CEF55}" name="Bandwidth"/>
    <tableColumn id="2" xr3:uid="{3B5FDE3F-C8C9-4A76-9315-91DE50F96564}" name="Standard" dataDxfId="43"/>
    <tableColumn id="3" xr3:uid="{BCF4E295-7A46-4946-A2AA-90FE8C4802FD}" name="Premium" dataDxfId="42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13885BBE-F560-4712-9471-5B8C10F823C9}" name="Table35232945" displayName="Table35232945" ref="H1:I3" totalsRowShown="0">
  <autoFilter ref="H1:I3" xr:uid="{05311FF5-8DF0-423A-A2DC-C2EF96B02FE0}"/>
  <tableColumns count="2">
    <tableColumn id="1" xr3:uid="{BA3D526D-722C-435C-81A3-771FDDF1DAC7}" name="Metered Outbound Zone" dataDxfId="41"/>
    <tableColumn id="2" xr3:uid="{B3620E58-2827-4442-9379-EB48BD2E8405}" name="GB Charge" dataDxfId="40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2D2CD7F-BF61-4309-A6CF-D392BFFEC62F}" name="Table21446" displayName="Table21446" ref="D1:F17" totalsRowShown="0">
  <autoFilter ref="D1:F17" xr:uid="{6CA6460A-E10C-4F46-A170-661289587634}"/>
  <tableColumns count="3">
    <tableColumn id="1" xr3:uid="{6EB1BC14-59DD-4E77-8CC5-BDBC15B8261A}" name="Bandwidth"/>
    <tableColumn id="2" xr3:uid="{4291F00B-FDE5-488D-81A9-5C54EB526723}" name="Standard" dataDxfId="39"/>
    <tableColumn id="3" xr3:uid="{793CF41B-8307-4653-92D2-FC6718B88527}" name="Premium" dataDxfId="38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441E63B-047C-4742-9685-761CD72BAA19}" name="Table351547" displayName="Table351547" ref="H1:I4" totalsRowShown="0">
  <autoFilter ref="H1:I4" xr:uid="{19C11969-3393-43E1-B6C4-9D09CDE1F70E}"/>
  <tableColumns count="2">
    <tableColumn id="1" xr3:uid="{F4C0CD5E-3814-4E2D-AD3A-FD66E8C1BC5D}" name="Metered Outbound Zone" dataDxfId="37"/>
    <tableColumn id="2" xr3:uid="{5BFEEB9B-8412-418C-8310-8998848E1F9A}" name="GB Charge" dataDxfId="36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6BB8DD2-CC8F-4FFC-9BB8-1AE1A8D673C2}" name="Table21448" displayName="Table21448" ref="D1:F17" totalsRowShown="0">
  <autoFilter ref="D1:F17" xr:uid="{18FA7F51-B907-4C8F-ABB8-585C97526CB5}"/>
  <tableColumns count="3">
    <tableColumn id="1" xr3:uid="{AD5928A5-738F-4E22-9F62-1693865EB098}" name="Bandwidth"/>
    <tableColumn id="2" xr3:uid="{AE14E382-1B4B-43BA-BAB0-D1F138532B7F}" name="Standard" dataDxfId="35"/>
    <tableColumn id="3" xr3:uid="{B1787F19-E4C6-47C1-B58B-6D533F19DE68}" name="Premium" dataDxfId="34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D9C82BC-CE6E-4971-9685-6CD4831ED164}" name="Table351549" displayName="Table351549" ref="H1:I4" totalsRowShown="0">
  <autoFilter ref="H1:I4" xr:uid="{744B58E4-707A-41A6-875E-E4145B34A9AA}"/>
  <tableColumns count="2">
    <tableColumn id="1" xr3:uid="{5D13D44A-68F1-40FA-9994-148742550F37}" name="Metered Outbound Zone" dataDxfId="33"/>
    <tableColumn id="2" xr3:uid="{6B69ADFA-5157-464A-9C9D-57B588E0FF10}" name="GB Charge" dataDxfId="32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6DB81C9-C84F-4156-8F3C-8BCCC4A20898}" name="Table21450" displayName="Table21450" ref="D1:F17" totalsRowShown="0">
  <autoFilter ref="D1:F17" xr:uid="{C30E6402-7AA6-4846-8D1D-0A2C4237F9D0}"/>
  <tableColumns count="3">
    <tableColumn id="1" xr3:uid="{1C0FC742-D0B4-411F-A833-5D402D85839E}" name="Bandwidth"/>
    <tableColumn id="2" xr3:uid="{0E5530C3-8DC3-4C2E-AB0D-9093026D53B3}" name="Standard" dataDxfId="31"/>
    <tableColumn id="3" xr3:uid="{9EF50DB2-FB7E-41A8-95E9-11BA594C878B}" name="Premium" dataDxfId="30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50D59D3-CB4C-4DE4-8F38-188239E6DF3E}" name="Table351551" displayName="Table351551" ref="H1:I4" totalsRowShown="0">
  <autoFilter ref="H1:I4" xr:uid="{63940544-D51E-4040-B5EE-66D5A4FA136D}"/>
  <tableColumns count="2">
    <tableColumn id="1" xr3:uid="{5099AED2-EE16-4FC5-894D-E659C6B7F525}" name="Metered Outbound Zone" dataDxfId="29"/>
    <tableColumn id="2" xr3:uid="{A2A81A72-B343-4CAB-9210-85A3AE3B4206}" name="GB Charge" dataDxfId="28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8956A9B-7093-455F-89D0-C7A5B2EF9A7E}" name="Table2145052" displayName="Table2145052" ref="D1:F17" totalsRowShown="0">
  <autoFilter ref="D1:F17" xr:uid="{A545F5CD-D9C6-4C6D-A8F5-50E10FA562CA}"/>
  <tableColumns count="3">
    <tableColumn id="1" xr3:uid="{82084405-985A-4D67-94B2-92E6F1508E70}" name="Bandwidth"/>
    <tableColumn id="2" xr3:uid="{78C1D533-295E-40FF-BEF5-454EDCED3A09}" name="Standard" dataDxfId="27"/>
    <tableColumn id="3" xr3:uid="{3E6838EC-E6DE-4C09-87F9-E401938EFF9B}" name="Premium" dataDxfId="26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5014A4AD-F4AC-4B9A-85F9-B2D5BB1C2EEC}" name="Table35155153" displayName="Table35155153" ref="H1:I4" totalsRowShown="0">
  <autoFilter ref="H1:I4" xr:uid="{4AEED695-7EFD-48AC-A023-6033CFD09DD7}"/>
  <tableColumns count="2">
    <tableColumn id="1" xr3:uid="{EF0A53D7-CC65-40FA-8406-C596F11CD2B1}" name="Metered Outbound Zone" dataDxfId="25"/>
    <tableColumn id="2" xr3:uid="{7E9F1949-06AC-40E0-9E56-5CA7C9200EA8}" name="GB Charge" dataDxfId="24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112F271-AA41-40FB-8018-E6B7F0D433A4}" name="Table21454" displayName="Table21454" ref="D1:F17" totalsRowShown="0">
  <autoFilter ref="D1:F17" xr:uid="{C060E853-E208-49A1-8AC9-CD4C35897FAE}"/>
  <tableColumns count="3">
    <tableColumn id="1" xr3:uid="{0B4A3D40-8794-433B-A400-3AA1AEA9B5C5}" name="Bandwidth"/>
    <tableColumn id="2" xr3:uid="{0B35DCA5-960A-45AE-88D5-C9307910F678}" name="Standard" dataDxfId="23"/>
    <tableColumn id="3" xr3:uid="{4391C1D4-97D0-4EA7-B9BD-617183AFAFD4}" name="Premium" dataDxfId="22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8170CC30-788A-4996-A38B-DD134E93B7BE}" name="Table351555" displayName="Table351555" ref="H1:I4" totalsRowShown="0">
  <autoFilter ref="H1:I4" xr:uid="{554466B9-B174-4B4C-B47C-939B997FB995}"/>
  <tableColumns count="2">
    <tableColumn id="1" xr3:uid="{E8DFDA1A-6057-42D9-BF92-E6C12AD98B5E}" name="Metered Outbound Zone" dataDxfId="21"/>
    <tableColumn id="2" xr3:uid="{81EDCC0B-8792-4C7D-9980-89321AACF550}" name="GB Charge" dataDxfId="20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C2A1509-79DA-44E0-95AD-697F78BDD292}" name="Table21456" displayName="Table21456" ref="D1:F17" totalsRowShown="0">
  <autoFilter ref="D1:F17" xr:uid="{F6612CE5-F326-47D8-AEC1-79F06046AB73}"/>
  <tableColumns count="3">
    <tableColumn id="1" xr3:uid="{94374722-BC56-4675-B423-F3CFFEF32789}" name="Bandwidth"/>
    <tableColumn id="2" xr3:uid="{4B64E4A6-0BC4-47C9-AB87-A4FBEDD24EF1}" name="Standard" dataDxfId="19"/>
    <tableColumn id="3" xr3:uid="{3E257841-C82A-41A9-8B9B-C87865D23968}" name="Premium" dataDxfId="18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A4FB8E6D-F634-48A4-AAF0-C60A31487F63}" name="Table351557" displayName="Table351557" ref="H1:I4" totalsRowShown="0">
  <autoFilter ref="H1:I4" xr:uid="{AA1CFC80-68DD-4FCD-BA5B-B4B1F4B08638}"/>
  <tableColumns count="2">
    <tableColumn id="1" xr3:uid="{19FB2735-E8E1-4346-B525-75BD54B9B79A}" name="Metered Outbound Zone" dataDxfId="17"/>
    <tableColumn id="2" xr3:uid="{DA00C4BA-0DC2-4D77-AE9C-1601690021A2}" name="GB Charge" dataDxfId="16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0A723EB-F0C5-4F4E-93BE-EFB20FA1E35D}" name="Table21458" displayName="Table21458" ref="D1:F17" totalsRowShown="0">
  <autoFilter ref="D1:F17" xr:uid="{BC9E02FF-4ECE-4756-A745-B7FB455B1104}"/>
  <tableColumns count="3">
    <tableColumn id="1" xr3:uid="{121F2A65-0C82-4C55-AD4E-35E578B8817B}" name="Bandwidth"/>
    <tableColumn id="2" xr3:uid="{EC088A4F-28A8-4B74-BBA5-F47CD0F6711C}" name="Standard" dataDxfId="15"/>
    <tableColumn id="3" xr3:uid="{D3EB4832-1F9F-4DD1-95C4-7039DB8CD806}" name="Premium" dataDxfId="14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C9C74A7-AD8D-402A-90B9-1D9DE5723D69}" name="Table351559" displayName="Table351559" ref="H1:I4" totalsRowShown="0">
  <autoFilter ref="H1:I4" xr:uid="{626774D1-BBF3-4F0B-A2D2-9E6DC8121251}"/>
  <tableColumns count="2">
    <tableColumn id="1" xr3:uid="{23692353-F42F-4EA7-AFF6-08C289E8971D}" name="Metered Outbound Zone" dataDxfId="13"/>
    <tableColumn id="2" xr3:uid="{1DEF490C-BE93-4074-BE49-516C7F4E813B}" name="GB Charge" dataDxfId="12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21890333-1095-4C69-A30A-3AD93713DF6D}" name="Table21460" displayName="Table21460" ref="D1:F17" totalsRowShown="0">
  <autoFilter ref="D1:F17" xr:uid="{F010D745-9C1D-4BDB-82E4-9D1E32601114}"/>
  <tableColumns count="3">
    <tableColumn id="1" xr3:uid="{9FB042CF-93C2-4F20-8427-0F78F6665ADC}" name="Bandwidth"/>
    <tableColumn id="2" xr3:uid="{D522923D-9669-455C-A8A2-67A62441CDE6}" name="Standard" dataDxfId="11"/>
    <tableColumn id="3" xr3:uid="{5BC16275-435B-45ED-A82D-9B91526CF658}" name="Premium" dataDxfId="10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A08618E1-08FD-49B8-A0E8-5DC91706660B}" name="Table351561" displayName="Table351561" ref="H1:I4" totalsRowShown="0">
  <autoFilter ref="H1:I4" xr:uid="{A2E7AB34-72B3-4E1E-B8CA-7D15B37BB3C1}"/>
  <tableColumns count="2">
    <tableColumn id="1" xr3:uid="{3BF13D14-EF5C-4F09-BBBC-151E87DC212C}" name="Metered Outbound Zone" dataDxfId="9"/>
    <tableColumn id="2" xr3:uid="{1F2B5522-1ED4-4A9E-8458-98F0EEE0A4CC}" name="GB Charge" dataDxfId="8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C05F847-22CC-4F6B-84A7-53BA26637DAF}" name="Table222284466" displayName="Table222284466" ref="D1:F17" totalsRowShown="0">
  <autoFilter ref="D1:F17" xr:uid="{9D32B87D-A096-4990-B759-BED330987B07}"/>
  <tableColumns count="3">
    <tableColumn id="1" xr3:uid="{06321671-7570-4EAF-8294-144E028A7D50}" name="Bandwidth"/>
    <tableColumn id="2" xr3:uid="{4EF829EB-24E8-4C4E-B9E3-053E5675F03D}" name="Standard" dataDxfId="7"/>
    <tableColumn id="3" xr3:uid="{B5AC7A05-85C5-411C-98CE-F4CD633B4586}" name="Premium" dataDxfId="6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B9982C0-87C1-49A8-A623-5C4A94095C31}" name="Table3523294567" displayName="Table3523294567" ref="H1:I3" totalsRowShown="0">
  <autoFilter ref="H1:I3" xr:uid="{797C9DB4-0F71-4E6A-B2B7-DD0CE4D2D34C}"/>
  <tableColumns count="2">
    <tableColumn id="1" xr3:uid="{05A72A02-FD76-45C4-B481-89C337E2BF3E}" name="Metered Outbound Zone" dataDxfId="5"/>
    <tableColumn id="2" xr3:uid="{56BE5928-AA69-4B8A-ACCE-6E1324A9DB41}" name="GB Charge" dataDxfId="4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6B51AFAA-B76C-493B-AFEA-1576B3398FB7}" name="Table222284468" displayName="Table222284468" ref="D1:F17" totalsRowShown="0">
  <autoFilter ref="D1:F17" xr:uid="{7D287889-810B-44A6-AE2F-3273C89CA956}"/>
  <tableColumns count="3">
    <tableColumn id="1" xr3:uid="{CE31F389-180F-43DF-9390-DA98AC3161ED}" name="Bandwidth"/>
    <tableColumn id="2" xr3:uid="{EDE5FF26-FC7B-4FC8-AEF6-E6E936DD613F}" name="Standard" dataDxfId="3"/>
    <tableColumn id="3" xr3:uid="{94C64F93-79CE-4067-B354-251C68167030}" name="Premium" dataDxfId="2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41064BE4-BAB5-42D4-9315-40B4C85C524D}" name="Table3523294569" displayName="Table3523294569" ref="H1:I3" totalsRowShown="0">
  <autoFilter ref="H1:I3" xr:uid="{6DDEF8E3-7FCE-4B81-9908-E42D7CE922D0}"/>
  <tableColumns count="2">
    <tableColumn id="1" xr3:uid="{3AE052D8-1FD6-4755-9AFD-B671C6E22609}" name="Metered Outbound Zone" dataDxfId="1"/>
    <tableColumn id="2" xr3:uid="{D8694FD7-1CE6-44C2-87C7-D34E545410B9}" name="GB Charg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table" Target="../tables/table3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table" Target="../tables/table4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table" Target="../tables/table4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table" Target="../tables/table5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table" Target="../tables/table6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43217-F65D-4D62-ABF4-9FC95570CFD2}">
  <dimension ref="B1:J34"/>
  <sheetViews>
    <sheetView tabSelected="1" workbookViewId="0">
      <selection activeCell="E11" sqref="E11"/>
    </sheetView>
  </sheetViews>
  <sheetFormatPr defaultRowHeight="15"/>
  <cols>
    <col min="1" max="1" width="6.7109375" customWidth="1"/>
    <col min="2" max="2" width="41.42578125" bestFit="1" customWidth="1"/>
    <col min="3" max="3" width="16.140625" customWidth="1"/>
    <col min="4" max="4" width="15.28515625" customWidth="1"/>
    <col min="5" max="5" width="10" bestFit="1" customWidth="1"/>
    <col min="7" max="7" width="24.85546875" customWidth="1"/>
    <col min="8" max="8" width="19.28515625" customWidth="1"/>
    <col min="10" max="10" width="10.140625" bestFit="1" customWidth="1"/>
  </cols>
  <sheetData>
    <row r="1" spans="2:5" ht="23.25">
      <c r="B1" s="22" t="s">
        <v>22</v>
      </c>
    </row>
    <row r="2" spans="2:5">
      <c r="B2" t="s">
        <v>25</v>
      </c>
    </row>
    <row r="4" spans="2:5">
      <c r="B4" t="s">
        <v>21</v>
      </c>
      <c r="C4" s="1"/>
    </row>
    <row r="5" spans="2:5">
      <c r="C5" s="1"/>
    </row>
    <row r="6" spans="2:5">
      <c r="C6" s="1"/>
    </row>
    <row r="7" spans="2:5">
      <c r="B7" t="s">
        <v>27</v>
      </c>
      <c r="C7" s="1"/>
    </row>
    <row r="8" spans="2:5">
      <c r="B8" t="s">
        <v>28</v>
      </c>
      <c r="E8" s="2"/>
    </row>
    <row r="9" spans="2:5">
      <c r="B9" t="s">
        <v>29</v>
      </c>
    </row>
    <row r="10" spans="2:5">
      <c r="B10" t="s">
        <v>24</v>
      </c>
    </row>
    <row r="12" spans="2:5">
      <c r="B12" s="6" t="s">
        <v>0</v>
      </c>
      <c r="C12" s="24" t="s">
        <v>8</v>
      </c>
      <c r="D12" s="7"/>
    </row>
    <row r="13" spans="2:5">
      <c r="B13" s="8" t="s">
        <v>10</v>
      </c>
      <c r="C13" s="9">
        <v>10000</v>
      </c>
      <c r="D13" s="10"/>
    </row>
    <row r="14" spans="2:5">
      <c r="B14" s="8" t="s">
        <v>11</v>
      </c>
      <c r="C14" s="9">
        <v>2000</v>
      </c>
      <c r="D14" s="10"/>
    </row>
    <row r="15" spans="2:5">
      <c r="B15" s="8" t="s">
        <v>6</v>
      </c>
      <c r="C15" s="26">
        <f>VLOOKUP(C12,Regions!A2:B33,2,FALSE)</f>
        <v>1</v>
      </c>
      <c r="D15" s="10"/>
    </row>
    <row r="16" spans="2:5">
      <c r="B16" s="11" t="s">
        <v>12</v>
      </c>
      <c r="C16" s="12">
        <v>2628000</v>
      </c>
      <c r="D16" s="10"/>
    </row>
    <row r="17" spans="2:10">
      <c r="B17" s="11" t="s">
        <v>13</v>
      </c>
      <c r="C17" s="12">
        <f>C14*C16</f>
        <v>5256000000</v>
      </c>
      <c r="D17" s="10"/>
    </row>
    <row r="18" spans="2:10">
      <c r="B18" s="11" t="s">
        <v>14</v>
      </c>
      <c r="C18" s="12">
        <f>C17/8</f>
        <v>657000000</v>
      </c>
      <c r="D18" s="10"/>
    </row>
    <row r="19" spans="2:10" ht="15.75">
      <c r="B19" s="11" t="s">
        <v>15</v>
      </c>
      <c r="C19" s="12">
        <f>C18/1000</f>
        <v>657000</v>
      </c>
      <c r="D19" s="10"/>
      <c r="H19" s="23"/>
    </row>
    <row r="20" spans="2:10" ht="15.75">
      <c r="B20" s="11" t="s">
        <v>16</v>
      </c>
      <c r="C20" s="13">
        <f ca="1">(C19*INDIRECT("'"&amp;C12&amp;"'!I2")) + C21</f>
        <v>19825</v>
      </c>
      <c r="D20" s="10"/>
      <c r="H20" s="23"/>
    </row>
    <row r="21" spans="2:10" ht="15.75">
      <c r="B21" s="11" t="s">
        <v>17</v>
      </c>
      <c r="C21" s="13">
        <f ca="1">VLOOKUP(C13,INDIRECT("'"&amp;C12&amp;"'!D2:F9"),2,FALSE)</f>
        <v>3400</v>
      </c>
      <c r="D21" s="10"/>
      <c r="H21" s="23"/>
    </row>
    <row r="22" spans="2:10" ht="15.75">
      <c r="B22" s="11" t="s">
        <v>18</v>
      </c>
      <c r="C22" s="13">
        <f ca="1">VLOOKUP(C13,INDIRECT("'"&amp;C12&amp;"'!D2:F9"),3,FALSE)</f>
        <v>6400</v>
      </c>
      <c r="D22" s="10"/>
      <c r="H22" s="23"/>
    </row>
    <row r="23" spans="2:10" ht="15.75">
      <c r="B23" s="11"/>
      <c r="C23" s="13"/>
      <c r="D23" s="10"/>
      <c r="H23" s="23"/>
    </row>
    <row r="24" spans="2:10" ht="15.75">
      <c r="B24" s="11"/>
      <c r="C24" s="13"/>
      <c r="D24" s="10"/>
      <c r="H24" s="23"/>
    </row>
    <row r="25" spans="2:10" ht="15.75">
      <c r="B25" s="11"/>
      <c r="C25" s="14" t="s">
        <v>4</v>
      </c>
      <c r="D25" s="15" t="s">
        <v>5</v>
      </c>
      <c r="G25" s="2"/>
      <c r="H25" s="23"/>
    </row>
    <row r="26" spans="2:10">
      <c r="B26" s="16" t="s">
        <v>19</v>
      </c>
      <c r="C26" s="17">
        <f ca="1">(C19*INDIRECT("'"&amp;C12&amp;"'!I2")) + C21</f>
        <v>19825</v>
      </c>
      <c r="D26" s="18">
        <f ca="1">(C19*INDIRECT("'"&amp;C12&amp;"'!I2")) + C22</f>
        <v>22825</v>
      </c>
    </row>
    <row r="27" spans="2:10">
      <c r="B27" s="19" t="s">
        <v>20</v>
      </c>
      <c r="C27" s="20">
        <f ca="1">VLOOKUP(C13,INDIRECT("'"&amp;C12&amp;"'!D10:F17"),2,FALSE)</f>
        <v>51300</v>
      </c>
      <c r="D27" s="21">
        <f ca="1">VLOOKUP(C13,INDIRECT("'"&amp;C12&amp;"'!D10:F17"),3,FALSE)</f>
        <v>54300</v>
      </c>
    </row>
    <row r="28" spans="2:10">
      <c r="J28" s="2"/>
    </row>
    <row r="34" spans="10:10">
      <c r="J34" s="2"/>
    </row>
  </sheetData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977023-9553-4E8E-8A90-615D8852C819}">
          <x14:formula1>
            <xm:f>'Central US'!$D$2:$D$9</xm:f>
          </x14:formula1>
          <xm:sqref>C13</xm:sqref>
        </x14:dataValidation>
        <x14:dataValidation type="list" allowBlank="1" showInputMessage="1" showErrorMessage="1" xr:uid="{F71876CC-6386-4164-8947-869C441D8FE5}">
          <x14:formula1>
            <xm:f>Regions!$A$2:$A$33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F917F-4194-4F19-A64C-B49F887368FD}">
  <dimension ref="A1:B39"/>
  <sheetViews>
    <sheetView workbookViewId="0">
      <selection activeCell="B28" sqref="B28"/>
    </sheetView>
  </sheetViews>
  <sheetFormatPr defaultRowHeight="15"/>
  <cols>
    <col min="1" max="1" width="20.28515625" customWidth="1"/>
  </cols>
  <sheetData>
    <row r="1" spans="1:2">
      <c r="A1" t="s">
        <v>23</v>
      </c>
      <c r="B1" t="s">
        <v>26</v>
      </c>
    </row>
    <row r="2" spans="1:2" ht="15.75">
      <c r="A2" s="23" t="str">
        <f>INDEX(Sheets,ROWS(Calculator!$A$1:$A3))</f>
        <v>Central US</v>
      </c>
      <c r="B2">
        <v>1</v>
      </c>
    </row>
    <row r="3" spans="1:2" ht="15.75">
      <c r="A3" s="23" t="str">
        <f>INDEX(Sheets,ROWS(Calculator!$A$1:$A4))</f>
        <v>East US</v>
      </c>
      <c r="B3">
        <v>1</v>
      </c>
    </row>
    <row r="4" spans="1:2" ht="15.75">
      <c r="A4" s="23" t="str">
        <f>INDEX(Sheets,ROWS(Calculator!$A$1:$A5))</f>
        <v>East US2</v>
      </c>
      <c r="B4">
        <v>1</v>
      </c>
    </row>
    <row r="5" spans="1:2" ht="15.75">
      <c r="A5" s="23" t="str">
        <f>INDEX(Sheets,ROWS(Calculator!$A$1:$A6))</f>
        <v>North Central US</v>
      </c>
      <c r="B5">
        <v>1</v>
      </c>
    </row>
    <row r="6" spans="1:2" ht="15.75">
      <c r="A6" s="23" t="str">
        <f>INDEX(Sheets,ROWS(Calculator!$A$1:$A7))</f>
        <v>South Central US</v>
      </c>
      <c r="B6">
        <v>1</v>
      </c>
    </row>
    <row r="7" spans="1:2" ht="15.75">
      <c r="A7" s="23" t="str">
        <f>INDEX(Sheets,ROWS(Calculator!$A$1:$A8))</f>
        <v>West Central US</v>
      </c>
      <c r="B7">
        <v>1</v>
      </c>
    </row>
    <row r="8" spans="1:2" ht="15.75">
      <c r="A8" s="23" t="str">
        <f>INDEX(Sheets,ROWS(Calculator!$A$1:$A9))</f>
        <v>West US</v>
      </c>
      <c r="B8">
        <v>1</v>
      </c>
    </row>
    <row r="9" spans="1:2" ht="15.75">
      <c r="A9" s="23" t="str">
        <f>INDEX(Sheets,ROWS(Calculator!$A$1:$A10))</f>
        <v>West US 2</v>
      </c>
      <c r="B9">
        <v>1</v>
      </c>
    </row>
    <row r="10" spans="1:2" ht="15.75">
      <c r="A10" s="23" t="str">
        <f>INDEX(Sheets,ROWS(Calculator!$A$1:$A11))</f>
        <v>North Europe</v>
      </c>
      <c r="B10">
        <v>1</v>
      </c>
    </row>
    <row r="11" spans="1:2" ht="15.75">
      <c r="A11" s="23" t="str">
        <f>INDEX(Sheets,ROWS(Calculator!$A$1:$A12))</f>
        <v>West Europe</v>
      </c>
      <c r="B11">
        <v>1</v>
      </c>
    </row>
    <row r="12" spans="1:2" ht="15.75">
      <c r="A12" s="23" t="str">
        <f>INDEX(Sheets,ROWS(Calculator!$A$1:$A13))</f>
        <v>East Asia</v>
      </c>
      <c r="B12">
        <v>2</v>
      </c>
    </row>
    <row r="13" spans="1:2" ht="15.75">
      <c r="A13" s="23" t="str">
        <f>INDEX(Sheets,ROWS(Calculator!$A$1:$A14))</f>
        <v>Southeast Asia</v>
      </c>
      <c r="B13">
        <v>2</v>
      </c>
    </row>
    <row r="14" spans="1:2" ht="15.75">
      <c r="A14" s="23" t="str">
        <f>INDEX(Sheets,ROWS(Calculator!$A$1:$A15))</f>
        <v>Japan East</v>
      </c>
      <c r="B14">
        <v>2</v>
      </c>
    </row>
    <row r="15" spans="1:2" ht="15.75">
      <c r="A15" s="23" t="str">
        <f>INDEX(Sheets,ROWS(Calculator!$A$1:$A16))</f>
        <v>Japan West</v>
      </c>
      <c r="B15">
        <v>2</v>
      </c>
    </row>
    <row r="16" spans="1:2" ht="15.75">
      <c r="A16" s="23" t="str">
        <f>INDEX(Sheets,ROWS(Calculator!$A$1:$A17))</f>
        <v>Brazil South</v>
      </c>
      <c r="B16">
        <v>3</v>
      </c>
    </row>
    <row r="17" spans="1:2" ht="15.75">
      <c r="A17" s="23" t="str">
        <f>INDEX(Sheets,ROWS(Calculator!$A$1:$A18))</f>
        <v>Australia Central</v>
      </c>
      <c r="B17">
        <v>1</v>
      </c>
    </row>
    <row r="18" spans="1:2" ht="15.75">
      <c r="A18" s="23" t="str">
        <f>INDEX(Sheets,ROWS(Calculator!$A$1:$A19))</f>
        <v>Australia Central 2</v>
      </c>
      <c r="B18">
        <v>1</v>
      </c>
    </row>
    <row r="19" spans="1:2" ht="15.75">
      <c r="A19" s="23" t="str">
        <f>INDEX(Sheets,ROWS(Calculator!$A$1:$A20))</f>
        <v>Australia East</v>
      </c>
      <c r="B19">
        <v>2</v>
      </c>
    </row>
    <row r="20" spans="1:2" ht="15.75">
      <c r="A20" s="23" t="str">
        <f>INDEX(Sheets,ROWS(Calculator!$A$1:$A21))</f>
        <v>Australia Southeast</v>
      </c>
      <c r="B20">
        <v>2</v>
      </c>
    </row>
    <row r="21" spans="1:2" ht="15.75">
      <c r="A21" s="23" t="str">
        <f>INDEX(Sheets,ROWS(Calculator!$A$1:$A22))</f>
        <v>Central India</v>
      </c>
      <c r="B21">
        <v>2</v>
      </c>
    </row>
    <row r="22" spans="1:2" ht="15.75">
      <c r="A22" s="23" t="str">
        <f>INDEX(Sheets,ROWS(Calculator!$A$1:$A23))</f>
        <v>South India</v>
      </c>
      <c r="B22">
        <v>2</v>
      </c>
    </row>
    <row r="23" spans="1:2" ht="15.75">
      <c r="A23" s="23" t="str">
        <f>INDEX(Sheets,ROWS(Calculator!$A$1:$A24))</f>
        <v>West India</v>
      </c>
      <c r="B23">
        <v>2</v>
      </c>
    </row>
    <row r="24" spans="1:2" ht="15.75">
      <c r="A24" s="23" t="str">
        <f>INDEX(Sheets,ROWS(Calculator!$A$1:$A25))</f>
        <v>Canada Central</v>
      </c>
      <c r="B24">
        <v>1</v>
      </c>
    </row>
    <row r="25" spans="1:2" ht="15.75">
      <c r="A25" s="23" t="str">
        <f>INDEX(Sheets,ROWS(Calculator!$A$1:$A26))</f>
        <v>Canada East</v>
      </c>
      <c r="B25">
        <v>1</v>
      </c>
    </row>
    <row r="26" spans="1:2" ht="15.75">
      <c r="A26" s="23" t="str">
        <f>INDEX(Sheets,ROWS(Calculator!$A$1:$A27))</f>
        <v>Germany Central</v>
      </c>
      <c r="B26">
        <v>1</v>
      </c>
    </row>
    <row r="27" spans="1:2" ht="15.75">
      <c r="A27" s="23" t="str">
        <f>INDEX(Sheets,ROWS(Calculator!$A$1:$A28))</f>
        <v>Germany Northeast</v>
      </c>
      <c r="B27">
        <v>1</v>
      </c>
    </row>
    <row r="28" spans="1:2" ht="15.75">
      <c r="A28" s="23" t="str">
        <f>INDEX(Sheets,ROWS(Calculator!$A$1:$A29))</f>
        <v>UK South</v>
      </c>
      <c r="B28">
        <v>1</v>
      </c>
    </row>
    <row r="29" spans="1:2" ht="15.75">
      <c r="A29" s="23" t="str">
        <f>INDEX(Sheets,ROWS(Calculator!$A$1:$A30))</f>
        <v>UK West</v>
      </c>
      <c r="B29">
        <v>1</v>
      </c>
    </row>
    <row r="30" spans="1:2" ht="15.75">
      <c r="A30" s="23" t="str">
        <f>INDEX(Sheets,ROWS(Calculator!$A$1:$A31))</f>
        <v>France Central</v>
      </c>
      <c r="B30">
        <v>1</v>
      </c>
    </row>
    <row r="31" spans="1:2" ht="15.75">
      <c r="A31" s="23" t="str">
        <f>INDEX(Sheets,ROWS(Calculator!$A$1:$A32))</f>
        <v>France South</v>
      </c>
      <c r="B31">
        <v>1</v>
      </c>
    </row>
    <row r="32" spans="1:2" ht="15.75">
      <c r="A32" s="23" t="str">
        <f>INDEX(Sheets,ROWS(Calculator!$A$1:$A33))</f>
        <v>Korea Central</v>
      </c>
      <c r="B32">
        <v>2</v>
      </c>
    </row>
    <row r="33" spans="1:2" ht="15.75">
      <c r="A33" s="23" t="str">
        <f>INDEX(Sheets,ROWS(Calculator!$A$1:$A34))</f>
        <v>Korea South</v>
      </c>
      <c r="B33">
        <v>2</v>
      </c>
    </row>
    <row r="34" spans="1:2" ht="15.75">
      <c r="A34" s="23"/>
    </row>
    <row r="35" spans="1:2" ht="15.75">
      <c r="A35" s="23"/>
    </row>
    <row r="36" spans="1:2" ht="15.75">
      <c r="A36" s="23"/>
    </row>
    <row r="37" spans="1:2" ht="15.75">
      <c r="A37" s="23"/>
    </row>
    <row r="38" spans="1:2" ht="15.75">
      <c r="A38" s="23"/>
    </row>
    <row r="39" spans="1:2" ht="15.75">
      <c r="A39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E1CD1-78D3-41C2-B406-9DF2B468E6DD}">
  <dimension ref="A1:I17"/>
  <sheetViews>
    <sheetView workbookViewId="0">
      <selection activeCell="H21" sqref="H21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CEE84-F0F6-45D9-9D2A-F13F54A867B9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B6F1B-4574-429F-B8EB-2B32B0B5A434}">
  <dimension ref="A1:I17"/>
  <sheetViews>
    <sheetView workbookViewId="0">
      <selection activeCell="H14" sqref="H1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614C-56DE-47A2-9C86-60A54F5D6772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8E30B-1B05-4162-BB94-314EFC40E692}">
  <dimension ref="A1:I17"/>
  <sheetViews>
    <sheetView workbookViewId="0">
      <selection activeCell="J33" sqref="J3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710E7-B606-4026-92C2-AA6F8863708D}">
  <dimension ref="A1:I17"/>
  <sheetViews>
    <sheetView workbookViewId="0">
      <selection activeCell="I7" sqref="I7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5B65-D67A-4780-A993-9FC3C03D160E}">
  <dimension ref="A1:I17"/>
  <sheetViews>
    <sheetView workbookViewId="0">
      <selection activeCell="I13" sqref="I1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73C7-4706-4BD4-AF6B-20EAEED76E96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3D951-2A85-479B-A5F3-FBBAE368322A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210C8-FCF5-4092-893F-332270B76E16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2B6EF-1D33-4120-9DE9-1CC0FFACDD79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323E-EFEC-401A-B5D9-7C77831F64AA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35D8-B8CF-4F6A-8CC1-894FF3BFF9C1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D5575-5AE6-4BC0-9598-F486BE8139EA}">
  <dimension ref="A1:I17"/>
  <sheetViews>
    <sheetView workbookViewId="0">
      <selection activeCell="K10" sqref="K10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C7FF0-13AE-425F-AFC1-15CDFA47816D}">
  <dimension ref="A1:I17"/>
  <sheetViews>
    <sheetView workbookViewId="0">
      <selection activeCell="P20" sqref="P20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3</v>
      </c>
      <c r="I2" s="4">
        <v>0.14000000000000001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D5FA-2CA9-402C-B423-6787989D6940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2AB5A-5D47-414B-AA6E-7134FAC58137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E6A0-4D1E-4F1A-82CB-8A4B92A3F400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2F33-E81E-43F0-B2E3-35C042EC5B78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10FFF-E1E2-4BC3-BCEE-A41E2CF1449B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BB60C-782B-45B5-957F-14A6E01AD4DB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785B7-782A-4777-A03A-402D020274CF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E7BA-DE53-4F60-9C76-DEA0FE713918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75C6-BE42-44A8-BEE6-DE9A97031E7D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673BB-D182-4F2E-8B06-30CE45F16674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25">
        <v>63.25</v>
      </c>
      <c r="F2" s="25">
        <v>149.5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25">
        <v>126.5</v>
      </c>
      <c r="F3" s="25">
        <v>230</v>
      </c>
      <c r="H3" s="5"/>
      <c r="I3" s="4"/>
    </row>
    <row r="4" spans="1:9">
      <c r="A4" t="s">
        <v>8</v>
      </c>
      <c r="B4" t="s">
        <v>9</v>
      </c>
      <c r="D4">
        <v>200</v>
      </c>
      <c r="E4" s="25">
        <v>166.75</v>
      </c>
      <c r="F4" s="25">
        <v>339.25</v>
      </c>
      <c r="H4" s="5"/>
      <c r="I4" s="4"/>
    </row>
    <row r="5" spans="1:9">
      <c r="A5" t="s">
        <v>8</v>
      </c>
      <c r="B5" t="s">
        <v>9</v>
      </c>
      <c r="D5">
        <v>500</v>
      </c>
      <c r="E5" s="25">
        <v>333.5</v>
      </c>
      <c r="F5" s="25">
        <v>793.5</v>
      </c>
    </row>
    <row r="6" spans="1:9">
      <c r="A6" t="s">
        <v>8</v>
      </c>
      <c r="B6" t="s">
        <v>9</v>
      </c>
      <c r="D6">
        <v>1000</v>
      </c>
      <c r="E6" s="25">
        <v>501.4</v>
      </c>
      <c r="F6" s="25">
        <v>1363.9</v>
      </c>
    </row>
    <row r="7" spans="1:9">
      <c r="A7" t="s">
        <v>8</v>
      </c>
      <c r="B7" t="s">
        <v>9</v>
      </c>
      <c r="D7">
        <v>2000</v>
      </c>
      <c r="E7" s="25">
        <v>1002.8</v>
      </c>
      <c r="F7" s="25">
        <v>2727.8</v>
      </c>
    </row>
    <row r="8" spans="1:9">
      <c r="A8" t="s">
        <v>8</v>
      </c>
      <c r="B8" t="s">
        <v>9</v>
      </c>
      <c r="D8">
        <v>5000</v>
      </c>
      <c r="E8" s="25">
        <v>2507</v>
      </c>
      <c r="F8" s="25">
        <v>5957</v>
      </c>
    </row>
    <row r="9" spans="1:9">
      <c r="A9" t="s">
        <v>8</v>
      </c>
      <c r="B9" t="s">
        <v>9</v>
      </c>
      <c r="D9">
        <v>10000</v>
      </c>
      <c r="E9" s="25">
        <v>5750</v>
      </c>
      <c r="F9" s="25">
        <v>9200</v>
      </c>
    </row>
    <row r="10" spans="1:9">
      <c r="A10" t="s">
        <v>8</v>
      </c>
      <c r="C10" t="s">
        <v>9</v>
      </c>
      <c r="D10">
        <v>50</v>
      </c>
      <c r="E10" s="25">
        <v>345</v>
      </c>
      <c r="F10" s="25">
        <v>431.25</v>
      </c>
    </row>
    <row r="11" spans="1:9">
      <c r="A11" t="s">
        <v>8</v>
      </c>
      <c r="C11" t="s">
        <v>9</v>
      </c>
      <c r="D11">
        <v>100</v>
      </c>
      <c r="E11" s="25">
        <v>661.25</v>
      </c>
      <c r="F11" s="25">
        <v>776.25</v>
      </c>
    </row>
    <row r="12" spans="1:9">
      <c r="A12" t="s">
        <v>8</v>
      </c>
      <c r="C12" t="s">
        <v>9</v>
      </c>
      <c r="D12">
        <v>200</v>
      </c>
      <c r="E12" s="25">
        <v>1322.5</v>
      </c>
      <c r="F12" s="25">
        <v>1495</v>
      </c>
    </row>
    <row r="13" spans="1:9">
      <c r="A13" t="s">
        <v>8</v>
      </c>
      <c r="C13" t="s">
        <v>9</v>
      </c>
      <c r="D13">
        <v>500</v>
      </c>
      <c r="E13" s="25">
        <v>3162.5</v>
      </c>
      <c r="F13" s="25">
        <v>3622.5</v>
      </c>
    </row>
    <row r="14" spans="1:9">
      <c r="A14" t="s">
        <v>8</v>
      </c>
      <c r="C14" t="s">
        <v>9</v>
      </c>
      <c r="D14">
        <v>1000</v>
      </c>
      <c r="E14" s="25">
        <v>6555</v>
      </c>
      <c r="F14" s="25">
        <v>7417.5</v>
      </c>
    </row>
    <row r="15" spans="1:9">
      <c r="A15" t="s">
        <v>8</v>
      </c>
      <c r="C15" t="s">
        <v>9</v>
      </c>
      <c r="D15">
        <v>2000</v>
      </c>
      <c r="E15" s="25">
        <v>13110</v>
      </c>
      <c r="F15" s="25">
        <v>14835</v>
      </c>
    </row>
    <row r="16" spans="1:9">
      <c r="A16" t="s">
        <v>8</v>
      </c>
      <c r="C16" t="s">
        <v>9</v>
      </c>
      <c r="D16">
        <v>5000</v>
      </c>
      <c r="E16" s="25">
        <v>29497.5</v>
      </c>
      <c r="F16" s="25">
        <v>32947.5</v>
      </c>
    </row>
    <row r="17" spans="1:6">
      <c r="A17" t="s">
        <v>8</v>
      </c>
      <c r="C17" t="s">
        <v>9</v>
      </c>
      <c r="D17">
        <v>10000</v>
      </c>
      <c r="E17" s="25">
        <v>58995</v>
      </c>
      <c r="F17" s="25">
        <v>62445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13F0F-4F71-4B84-9635-7DEF14A16F4C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25">
        <v>63.25</v>
      </c>
      <c r="F2" s="25">
        <v>149.5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25">
        <v>126.5</v>
      </c>
      <c r="F3" s="25">
        <v>230</v>
      </c>
      <c r="H3" s="5"/>
      <c r="I3" s="4"/>
    </row>
    <row r="4" spans="1:9">
      <c r="A4" t="s">
        <v>8</v>
      </c>
      <c r="B4" t="s">
        <v>9</v>
      </c>
      <c r="D4">
        <v>200</v>
      </c>
      <c r="E4" s="25">
        <v>166.75</v>
      </c>
      <c r="F4" s="25">
        <v>339.25</v>
      </c>
      <c r="H4" s="5"/>
      <c r="I4" s="4"/>
    </row>
    <row r="5" spans="1:9">
      <c r="A5" t="s">
        <v>8</v>
      </c>
      <c r="B5" t="s">
        <v>9</v>
      </c>
      <c r="D5">
        <v>500</v>
      </c>
      <c r="E5" s="25">
        <v>333.5</v>
      </c>
      <c r="F5" s="25">
        <v>793.5</v>
      </c>
    </row>
    <row r="6" spans="1:9">
      <c r="A6" t="s">
        <v>8</v>
      </c>
      <c r="B6" t="s">
        <v>9</v>
      </c>
      <c r="D6">
        <v>1000</v>
      </c>
      <c r="E6" s="25">
        <v>501.4</v>
      </c>
      <c r="F6" s="25">
        <v>1363.9</v>
      </c>
    </row>
    <row r="7" spans="1:9">
      <c r="A7" t="s">
        <v>8</v>
      </c>
      <c r="B7" t="s">
        <v>9</v>
      </c>
      <c r="D7">
        <v>2000</v>
      </c>
      <c r="E7" s="25">
        <v>1002.8</v>
      </c>
      <c r="F7" s="25">
        <v>2727.8</v>
      </c>
    </row>
    <row r="8" spans="1:9">
      <c r="A8" t="s">
        <v>8</v>
      </c>
      <c r="B8" t="s">
        <v>9</v>
      </c>
      <c r="D8">
        <v>5000</v>
      </c>
      <c r="E8" s="25">
        <v>2507</v>
      </c>
      <c r="F8" s="25">
        <v>5957</v>
      </c>
    </row>
    <row r="9" spans="1:9">
      <c r="A9" t="s">
        <v>8</v>
      </c>
      <c r="B9" t="s">
        <v>9</v>
      </c>
      <c r="D9">
        <v>10000</v>
      </c>
      <c r="E9" s="25">
        <v>5750</v>
      </c>
      <c r="F9" s="25">
        <v>9200</v>
      </c>
    </row>
    <row r="10" spans="1:9">
      <c r="A10" t="s">
        <v>8</v>
      </c>
      <c r="C10" t="s">
        <v>9</v>
      </c>
      <c r="D10">
        <v>50</v>
      </c>
      <c r="E10" s="25">
        <v>345</v>
      </c>
      <c r="F10" s="25">
        <v>431.25</v>
      </c>
    </row>
    <row r="11" spans="1:9">
      <c r="A11" t="s">
        <v>8</v>
      </c>
      <c r="C11" t="s">
        <v>9</v>
      </c>
      <c r="D11">
        <v>100</v>
      </c>
      <c r="E11" s="25">
        <v>661.25</v>
      </c>
      <c r="F11" s="25">
        <v>776.25</v>
      </c>
    </row>
    <row r="12" spans="1:9">
      <c r="A12" t="s">
        <v>8</v>
      </c>
      <c r="C12" t="s">
        <v>9</v>
      </c>
      <c r="D12">
        <v>200</v>
      </c>
      <c r="E12" s="25">
        <v>1322.5</v>
      </c>
      <c r="F12" s="25">
        <v>1495</v>
      </c>
    </row>
    <row r="13" spans="1:9">
      <c r="A13" t="s">
        <v>8</v>
      </c>
      <c r="C13" t="s">
        <v>9</v>
      </c>
      <c r="D13">
        <v>500</v>
      </c>
      <c r="E13" s="25">
        <v>3162.5</v>
      </c>
      <c r="F13" s="25">
        <v>3622.5</v>
      </c>
    </row>
    <row r="14" spans="1:9">
      <c r="A14" t="s">
        <v>8</v>
      </c>
      <c r="C14" t="s">
        <v>9</v>
      </c>
      <c r="D14">
        <v>1000</v>
      </c>
      <c r="E14" s="25">
        <v>6555</v>
      </c>
      <c r="F14" s="25">
        <v>7417.5</v>
      </c>
    </row>
    <row r="15" spans="1:9">
      <c r="A15" t="s">
        <v>8</v>
      </c>
      <c r="C15" t="s">
        <v>9</v>
      </c>
      <c r="D15">
        <v>2000</v>
      </c>
      <c r="E15" s="25">
        <v>13110</v>
      </c>
      <c r="F15" s="25">
        <v>14835</v>
      </c>
    </row>
    <row r="16" spans="1:9">
      <c r="A16" t="s">
        <v>8</v>
      </c>
      <c r="C16" t="s">
        <v>9</v>
      </c>
      <c r="D16">
        <v>5000</v>
      </c>
      <c r="E16" s="25">
        <v>29497.5</v>
      </c>
      <c r="F16" s="25">
        <v>32947.5</v>
      </c>
    </row>
    <row r="17" spans="1:6">
      <c r="A17" t="s">
        <v>8</v>
      </c>
      <c r="C17" t="s">
        <v>9</v>
      </c>
      <c r="D17">
        <v>10000</v>
      </c>
      <c r="E17" s="25">
        <v>58995</v>
      </c>
      <c r="F17" s="25">
        <v>62445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1FF68-0BC7-4540-AF18-52E770EA06ED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327D-6426-44D2-A9A6-2A16BCB0962C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A567-A624-4E8B-BA80-AE939B213EF3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30841-88C8-414A-8933-C37AD76B0A23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6A9B5-1E81-497C-815E-A31E7EB11DD6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0DEF-414B-408F-BD6F-C52EFF0255D3}">
  <dimension ref="A1:I17"/>
  <sheetViews>
    <sheetView workbookViewId="0">
      <selection activeCell="K16" sqref="K1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Calculator</vt:lpstr>
      <vt:lpstr>Regions</vt:lpstr>
      <vt:lpstr>Central US</vt:lpstr>
      <vt:lpstr>East US</vt:lpstr>
      <vt:lpstr>East US2</vt:lpstr>
      <vt:lpstr>North Central US</vt:lpstr>
      <vt:lpstr>South Central US</vt:lpstr>
      <vt:lpstr>West Central US</vt:lpstr>
      <vt:lpstr>West US</vt:lpstr>
      <vt:lpstr>West US 2</vt:lpstr>
      <vt:lpstr>North Europe</vt:lpstr>
      <vt:lpstr>West Europe</vt:lpstr>
      <vt:lpstr>East Asia</vt:lpstr>
      <vt:lpstr>Southeast Asia</vt:lpstr>
      <vt:lpstr>Japan East</vt:lpstr>
      <vt:lpstr>Japan West</vt:lpstr>
      <vt:lpstr>Brazil South</vt:lpstr>
      <vt:lpstr>Australia Central</vt:lpstr>
      <vt:lpstr>Australia Central 2</vt:lpstr>
      <vt:lpstr>Australia East</vt:lpstr>
      <vt:lpstr>Australia Southeast</vt:lpstr>
      <vt:lpstr>Central India</vt:lpstr>
      <vt:lpstr>South India</vt:lpstr>
      <vt:lpstr>West India</vt:lpstr>
      <vt:lpstr>Canada Central</vt:lpstr>
      <vt:lpstr>Canada East</vt:lpstr>
      <vt:lpstr>Germany Central</vt:lpstr>
      <vt:lpstr>Germany Northeast</vt:lpstr>
      <vt:lpstr>UK South</vt:lpstr>
      <vt:lpstr>UK West</vt:lpstr>
      <vt:lpstr>France Central</vt:lpstr>
      <vt:lpstr>France South</vt:lpstr>
      <vt:lpstr>Korea Central</vt:lpstr>
      <vt:lpstr>Korea South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Bryan Ashley</dc:creator>
  <cp:keywords/>
  <dc:description/>
  <cp:lastModifiedBy>Bryan Ashley</cp:lastModifiedBy>
  <cp:revision/>
  <dcterms:created xsi:type="dcterms:W3CDTF">2019-01-31T20:24:11Z</dcterms:created>
  <dcterms:modified xsi:type="dcterms:W3CDTF">2019-02-07T00:49:06Z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brashle@microsoft.com</vt:lpwstr>
  </property>
  <property fmtid="{D5CDD505-2E9C-101B-9397-08002B2CF9AE}" pid="5" name="MSIP_Label_f42aa342-8706-4288-bd11-ebb85995028c_SetDate">
    <vt:lpwstr>2019-01-31T22:38:18.3608103Z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f0e8fd5a-9807-45e8-9fe2-a04a84e3f9e6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